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7d0fd5397d0872/Documentos/GitHub/3D-Printed-17-1-Cycloidal-Robotic-Actuator/Cycloidal Actuator BOM/"/>
    </mc:Choice>
  </mc:AlternateContent>
  <xr:revisionPtr revIDLastSave="1" documentId="8_{2D0D3D28-5E80-4CBE-A097-5B9287F835A6}" xr6:coauthVersionLast="47" xr6:coauthVersionMax="47" xr10:uidLastSave="{27965826-921B-47B4-B8B8-9BE85C8DA1BF}"/>
  <bookViews>
    <workbookView xWindow="0" yWindow="380" windowWidth="25600" windowHeight="15280" xr2:uid="{99AC973D-DF8A-4F24-9C16-DF0647B22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7" i="1" l="1"/>
  <c r="J27" i="1" s="1"/>
</calcChain>
</file>

<file path=xl/sharedStrings.xml><?xml version="1.0" encoding="utf-8"?>
<sst xmlns="http://schemas.openxmlformats.org/spreadsheetml/2006/main" count="66" uniqueCount="63">
  <si>
    <t>ITEM NO.</t>
  </si>
  <si>
    <t>PART NUMBER</t>
  </si>
  <si>
    <t>DESCRIPTION</t>
  </si>
  <si>
    <t>Web Link for Purchasing</t>
  </si>
  <si>
    <t>Cost per Time Purchased($)</t>
  </si>
  <si>
    <t>Quantity Per Time Purchased (pcs &amp; kg)</t>
  </si>
  <si>
    <t>Part Unit Cost Per Purcahse($)</t>
  </si>
  <si>
    <t>QTY.</t>
  </si>
  <si>
    <t>Cost per Assembly</t>
  </si>
  <si>
    <t>Ring Gear</t>
  </si>
  <si>
    <t>3D printed PLA</t>
  </si>
  <si>
    <r>
      <rPr>
        <u/>
        <sz val="16"/>
        <color rgb="FF467785"/>
        <rFont val="Calibri"/>
        <family val="2"/>
      </rPr>
      <t>https://a.co/d/0gjZemYR</t>
    </r>
  </si>
  <si>
    <t>Opposite Ring Gear</t>
  </si>
  <si>
    <t>Cycloidal Gear</t>
  </si>
  <si>
    <t>Input Shaft</t>
  </si>
  <si>
    <t>Spacer Washer</t>
  </si>
  <si>
    <t>Bearing Spacer Big</t>
  </si>
  <si>
    <r>
      <rPr>
        <sz val="16"/>
        <rFont val="Verdana"/>
        <family val="2"/>
      </rPr>
      <t>HM155kV Motor
Mount V2</t>
    </r>
  </si>
  <si>
    <t>Encoder Magnent Mount</t>
  </si>
  <si>
    <t>Shaft Coupler for HM155KV</t>
  </si>
  <si>
    <t>FOC Board Spacer</t>
  </si>
  <si>
    <t>V3 Output Shaft Opposite</t>
  </si>
  <si>
    <t>V2 Output Shaft</t>
  </si>
  <si>
    <t>50mm*65mm*7mm Ball Bearing</t>
  </si>
  <si>
    <t>Bearing For both Ring Gears</t>
  </si>
  <si>
    <r>
      <rPr>
        <u/>
        <sz val="16"/>
        <color rgb="FF467785"/>
        <rFont val="Calibri"/>
        <family val="2"/>
      </rPr>
      <t>https://a.co/d/0iJVO1oG</t>
    </r>
  </si>
  <si>
    <r>
      <rPr>
        <sz val="16"/>
        <rFont val="Verdana"/>
        <family val="2"/>
      </rPr>
      <t>M3*0.5 BY 25mm
Socket Head Screw</t>
    </r>
  </si>
  <si>
    <t>Screw to secure two Ring Gears together</t>
  </si>
  <si>
    <r>
      <rPr>
        <u/>
        <sz val="16"/>
        <color rgb="FF467785"/>
        <rFont val="Calibri"/>
        <family val="2"/>
      </rPr>
      <t>https://www.aliexpress.us/item/2251832255868282.html</t>
    </r>
  </si>
  <si>
    <t>15mm by 24mm by 5mm Ball Bearing</t>
  </si>
  <si>
    <t>Beaing for Cycloidal Gear</t>
  </si>
  <si>
    <r>
      <rPr>
        <u/>
        <sz val="16"/>
        <color rgb="FF467785"/>
        <rFont val="Calibri"/>
        <family val="2"/>
      </rPr>
      <t>https://www.aliexpress.us/item/3256805951929226.html</t>
    </r>
  </si>
  <si>
    <t>M3 by 8mm Button Head Cap Screw</t>
  </si>
  <si>
    <t>Screw for both Motor Mount and Motor Coupler connection</t>
  </si>
  <si>
    <r>
      <rPr>
        <u/>
        <sz val="16"/>
        <color rgb="FF467785"/>
        <rFont val="Calibri"/>
        <family val="2"/>
      </rPr>
      <t>https://www.aliexpress.us/item/3256807424674896.html</t>
    </r>
  </si>
  <si>
    <t>M4 by 8mm Button Head Cap Screw</t>
  </si>
  <si>
    <t>Screw to secure the HM155kv onto Motor Mount</t>
  </si>
  <si>
    <t>M3 by 2.4mm Hex Nut</t>
  </si>
  <si>
    <t>Nut to secure the FOC Board</t>
  </si>
  <si>
    <r>
      <rPr>
        <u/>
        <sz val="16"/>
        <color rgb="FF467785"/>
        <rFont val="Calibri"/>
        <family val="2"/>
      </rPr>
      <t>https://www.aliexpress.us/item/3256807507915715.html</t>
    </r>
  </si>
  <si>
    <t>HM-6208 motor</t>
  </si>
  <si>
    <t>Electric Motor</t>
  </si>
  <si>
    <r>
      <rPr>
        <u/>
        <sz val="16"/>
        <color rgb="FF467785"/>
        <rFont val="Calibri"/>
        <family val="2"/>
      </rPr>
      <t>https://www.hobbywingdirect.com/products/xrotor-m-6208-motor-ul</t>
    </r>
  </si>
  <si>
    <t>22mm*10mm*6mm Ball Bearing</t>
  </si>
  <si>
    <t>Bearing to secure the Input Shaft</t>
  </si>
  <si>
    <r>
      <rPr>
        <u/>
        <sz val="16"/>
        <color rgb="FF467785"/>
        <rFont val="Calibri"/>
        <family val="2"/>
      </rPr>
      <t>https://a.co/d/02soELBD</t>
    </r>
  </si>
  <si>
    <t>M2.5 by 25mm Socket Head Screw</t>
  </si>
  <si>
    <t>Screw to secure and strengthen the Ouput Shaft</t>
  </si>
  <si>
    <t>Bearing to be used at the contact of Cycloidal Gear and the Output Shaft</t>
  </si>
  <si>
    <t>25mm*37mm*7mm Bearing</t>
  </si>
  <si>
    <t>Bearing to secure the Motor Coupler and the Input Shaft on the Output Shaft</t>
  </si>
  <si>
    <r>
      <rPr>
        <u/>
        <sz val="16"/>
        <color rgb="FF467785"/>
        <rFont val="Calibri"/>
        <family val="2"/>
      </rPr>
      <t>https://a.co/d/0cG1vUeo</t>
    </r>
  </si>
  <si>
    <t>M3 by 5mm by 6mm Heat Insert</t>
  </si>
  <si>
    <t>Heat Insert Nut for screw connection</t>
  </si>
  <si>
    <r>
      <rPr>
        <u/>
        <sz val="16"/>
        <color rgb="FF467785"/>
        <rFont val="Calibri"/>
        <family val="2"/>
      </rPr>
      <t>https://a.co/d/02RLsYz4</t>
    </r>
  </si>
  <si>
    <t>M2.5 by 4mm by 6mm Heat Insert</t>
  </si>
  <si>
    <r>
      <rPr>
        <u/>
        <sz val="16"/>
        <color rgb="FF467785"/>
        <rFont val="Calibri"/>
        <family val="2"/>
      </rPr>
      <t>https://a.co/d/0hLzXpKN</t>
    </r>
  </si>
  <si>
    <t>Encoder Magnent</t>
  </si>
  <si>
    <t>Used on Encoder Magnent Mount for Position Feedback</t>
  </si>
  <si>
    <t>https://www.aliexpress.us/item/3256810015574251.html</t>
  </si>
  <si>
    <t>Total Cost Per Assembly($):</t>
  </si>
  <si>
    <t>https://a.co/d/09450dIv</t>
  </si>
  <si>
    <t>6mm*8mm*12mm Sleeve 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</si>
</sst>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00000"/>
    <numFmt numFmtId="167" formatCode="0.0000000"/>
    <numFmt numFmtId="168" formatCode="0.0"/>
    <numFmt numFmtId="169" formatCode="0.00000"/>
  </numFmts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name val="Tahoma"/>
      <family val="2"/>
    </font>
    <font>
      <b/>
      <sz val="16"/>
      <name val="Calibri"/>
      <family val="2"/>
    </font>
    <font>
      <sz val="16"/>
      <color rgb="FF000000"/>
      <name val="Verdana"/>
      <family val="2"/>
    </font>
    <font>
      <sz val="16"/>
      <name val="Verdana"/>
      <family val="2"/>
    </font>
    <font>
      <sz val="16"/>
      <name val="Calibri"/>
      <family val="2"/>
    </font>
    <font>
      <u/>
      <sz val="16"/>
      <color rgb="FF467785"/>
      <name val="Calibri"/>
      <family val="2"/>
    </font>
    <font>
      <sz val="16"/>
      <color rgb="FF000000"/>
      <name val="Calibri"/>
      <family val="2"/>
    </font>
    <font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shrinkToFit="1"/>
    </xf>
    <xf numFmtId="164" fontId="8" fillId="0" borderId="4" xfId="0" applyNumberFormat="1" applyFont="1" applyBorder="1" applyAlignment="1">
      <alignment horizontal="center" vertical="center" shrinkToFit="1"/>
    </xf>
    <xf numFmtId="165" fontId="8" fillId="0" borderId="4" xfId="0" applyNumberFormat="1" applyFont="1" applyBorder="1" applyAlignment="1">
      <alignment horizontal="center" vertical="center" shrinkToFit="1"/>
    </xf>
    <xf numFmtId="166" fontId="8" fillId="0" borderId="4" xfId="0" applyNumberFormat="1" applyFont="1" applyBorder="1" applyAlignment="1">
      <alignment horizontal="center" vertical="center" shrinkToFit="1"/>
    </xf>
    <xf numFmtId="167" fontId="8" fillId="0" borderId="4" xfId="0" applyNumberFormat="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shrinkToFit="1"/>
    </xf>
    <xf numFmtId="168" fontId="8" fillId="0" borderId="4" xfId="0" applyNumberFormat="1" applyFont="1" applyBorder="1" applyAlignment="1">
      <alignment horizontal="center" vertical="center" shrinkToFit="1"/>
    </xf>
    <xf numFmtId="1" fontId="8" fillId="0" borderId="4" xfId="0" applyNumberFormat="1" applyFont="1" applyBorder="1" applyAlignment="1">
      <alignment horizontal="center" vertical="center" shrinkToFit="1"/>
    </xf>
    <xf numFmtId="169" fontId="8" fillId="0" borderId="4" xfId="0" applyNumberFormat="1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bbywingdirect.com/products/xrotor-m-6208-motor-ul" TargetMode="External"/><Relationship Id="rId13" Type="http://schemas.openxmlformats.org/officeDocument/2006/relationships/hyperlink" Target="https://a.co/d/02RLsYz4" TargetMode="External"/><Relationship Id="rId3" Type="http://schemas.openxmlformats.org/officeDocument/2006/relationships/hyperlink" Target="https://www.aliexpress.us/item/2251832255868282.html" TargetMode="External"/><Relationship Id="rId7" Type="http://schemas.openxmlformats.org/officeDocument/2006/relationships/hyperlink" Target="https://www.aliexpress.us/item/3256807507915715.html" TargetMode="External"/><Relationship Id="rId12" Type="http://schemas.openxmlformats.org/officeDocument/2006/relationships/hyperlink" Target="https://a.co/d/0cG1vUeo" TargetMode="External"/><Relationship Id="rId2" Type="http://schemas.openxmlformats.org/officeDocument/2006/relationships/hyperlink" Target="https://a.co/d/0iJVO1oG" TargetMode="External"/><Relationship Id="rId1" Type="http://schemas.openxmlformats.org/officeDocument/2006/relationships/hyperlink" Target="https://a.co/d/0gjZemYR" TargetMode="External"/><Relationship Id="rId6" Type="http://schemas.openxmlformats.org/officeDocument/2006/relationships/hyperlink" Target="https://www.aliexpress.us/item/3256807424674896.html" TargetMode="External"/><Relationship Id="rId11" Type="http://schemas.openxmlformats.org/officeDocument/2006/relationships/hyperlink" Target="https://a.co/d/09450dIv" TargetMode="External"/><Relationship Id="rId5" Type="http://schemas.openxmlformats.org/officeDocument/2006/relationships/hyperlink" Target="https://www.aliexpress.us/item/3256807424674896.html" TargetMode="External"/><Relationship Id="rId15" Type="http://schemas.openxmlformats.org/officeDocument/2006/relationships/hyperlink" Target="https://www.aliexpress.us/item/3256810015574251.html" TargetMode="External"/><Relationship Id="rId10" Type="http://schemas.openxmlformats.org/officeDocument/2006/relationships/hyperlink" Target="https://www.aliexpress.us/item/2251832255868282.html" TargetMode="External"/><Relationship Id="rId4" Type="http://schemas.openxmlformats.org/officeDocument/2006/relationships/hyperlink" Target="https://www.aliexpress.us/item/3256805951929226.html" TargetMode="External"/><Relationship Id="rId9" Type="http://schemas.openxmlformats.org/officeDocument/2006/relationships/hyperlink" Target="https://a.co/d/02soELBD" TargetMode="External"/><Relationship Id="rId14" Type="http://schemas.openxmlformats.org/officeDocument/2006/relationships/hyperlink" Target="https://a.co/d/0hLzXpK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EF98-A412-4729-92F1-43D9626E9D5A}">
  <dimension ref="A1:J28"/>
  <sheetViews>
    <sheetView tabSelected="1" topLeftCell="A11" zoomScale="55" zoomScaleNormal="55" workbookViewId="0">
      <selection activeCell="D32" sqref="D32"/>
    </sheetView>
  </sheetViews>
  <sheetFormatPr defaultRowHeight="14.5" x14ac:dyDescent="0.35"/>
  <cols>
    <col min="1" max="1" width="13.7265625" customWidth="1"/>
    <col min="2" max="2" width="27.453125" customWidth="1"/>
    <col min="3" max="3" width="18.08984375" customWidth="1"/>
    <col min="4" max="4" width="54.26953125" customWidth="1"/>
    <col min="5" max="5" width="85.1796875" customWidth="1"/>
    <col min="6" max="6" width="40.36328125" customWidth="1"/>
    <col min="7" max="7" width="53.1796875" customWidth="1"/>
    <col min="8" max="8" width="33.36328125" customWidth="1"/>
    <col min="9" max="9" width="10.54296875" customWidth="1"/>
    <col min="10" max="10" width="24.1796875" customWidth="1"/>
  </cols>
  <sheetData>
    <row r="1" spans="1:10" ht="42" x14ac:dyDescent="0.35">
      <c r="A1" s="1" t="s">
        <v>0</v>
      </c>
      <c r="B1" s="2" t="s">
        <v>1</v>
      </c>
      <c r="C1" s="3"/>
      <c r="D1" s="1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1" t="s">
        <v>7</v>
      </c>
      <c r="J1" s="4" t="s">
        <v>8</v>
      </c>
    </row>
    <row r="2" spans="1:10" ht="37.5" customHeight="1" x14ac:dyDescent="0.35">
      <c r="A2" s="5">
        <v>1</v>
      </c>
      <c r="B2" s="6" t="s">
        <v>9</v>
      </c>
      <c r="C2" s="6"/>
      <c r="D2" s="6" t="s">
        <v>10</v>
      </c>
      <c r="E2" s="7" t="s">
        <v>11</v>
      </c>
      <c r="F2" s="8">
        <v>29.98</v>
      </c>
      <c r="G2" s="9">
        <v>3.0099999999999998E-2</v>
      </c>
      <c r="H2" s="10">
        <v>0.45100000000000001</v>
      </c>
      <c r="I2" s="5">
        <v>1</v>
      </c>
      <c r="J2" s="11">
        <v>0.45119900000000002</v>
      </c>
    </row>
    <row r="3" spans="1:10" ht="38.5" customHeight="1" x14ac:dyDescent="0.35">
      <c r="A3" s="5">
        <v>2</v>
      </c>
      <c r="B3" s="6" t="s">
        <v>12</v>
      </c>
      <c r="C3" s="6"/>
      <c r="D3" s="6"/>
      <c r="E3" s="7"/>
      <c r="F3" s="8"/>
      <c r="G3" s="9">
        <v>3.0099999999999998E-2</v>
      </c>
      <c r="H3" s="10">
        <v>0.45100000000000001</v>
      </c>
      <c r="I3" s="5">
        <v>1</v>
      </c>
      <c r="J3" s="11">
        <v>0.45119900000000002</v>
      </c>
    </row>
    <row r="4" spans="1:10" ht="44.5" customHeight="1" x14ac:dyDescent="0.35">
      <c r="A4" s="5">
        <v>3</v>
      </c>
      <c r="B4" s="6" t="s">
        <v>13</v>
      </c>
      <c r="C4" s="6"/>
      <c r="D4" s="6"/>
      <c r="E4" s="7"/>
      <c r="F4" s="8"/>
      <c r="G4" s="9">
        <v>1.15E-2</v>
      </c>
      <c r="H4" s="10">
        <v>0.17199999999999999</v>
      </c>
      <c r="I4" s="5">
        <v>2</v>
      </c>
      <c r="J4" s="12">
        <v>0.3444702</v>
      </c>
    </row>
    <row r="5" spans="1:10" ht="42" customHeight="1" x14ac:dyDescent="0.35">
      <c r="A5" s="5">
        <v>4</v>
      </c>
      <c r="B5" s="6" t="s">
        <v>14</v>
      </c>
      <c r="C5" s="6"/>
      <c r="D5" s="6"/>
      <c r="E5" s="7"/>
      <c r="F5" s="8"/>
      <c r="G5" s="9">
        <v>3.5999999999999999E-3</v>
      </c>
      <c r="H5" s="10">
        <v>5.3999999999999999E-2</v>
      </c>
      <c r="I5" s="5">
        <v>1</v>
      </c>
      <c r="J5" s="12">
        <v>5.3514300000000001E-2</v>
      </c>
    </row>
    <row r="6" spans="1:10" ht="46.5" customHeight="1" x14ac:dyDescent="0.35">
      <c r="A6" s="5">
        <v>6</v>
      </c>
      <c r="B6" s="6" t="s">
        <v>15</v>
      </c>
      <c r="C6" s="6"/>
      <c r="D6" s="6"/>
      <c r="E6" s="7"/>
      <c r="F6" s="8"/>
      <c r="G6" s="9">
        <v>2.0000000000000001E-4</v>
      </c>
      <c r="H6" s="10">
        <v>2E-3</v>
      </c>
      <c r="I6" s="5">
        <v>1</v>
      </c>
      <c r="J6" s="12">
        <v>2.3984000000000002E-3</v>
      </c>
    </row>
    <row r="7" spans="1:10" ht="40" customHeight="1" x14ac:dyDescent="0.35">
      <c r="A7" s="5">
        <v>11</v>
      </c>
      <c r="B7" s="6" t="s">
        <v>16</v>
      </c>
      <c r="C7" s="6"/>
      <c r="D7" s="6"/>
      <c r="E7" s="7"/>
      <c r="F7" s="8"/>
      <c r="G7" s="9">
        <v>4.0000000000000002E-4</v>
      </c>
      <c r="H7" s="10">
        <v>6.0000000000000001E-3</v>
      </c>
      <c r="I7" s="5">
        <v>1</v>
      </c>
      <c r="J7" s="12">
        <v>5.5462999999999997E-3</v>
      </c>
    </row>
    <row r="8" spans="1:10" ht="42" customHeight="1" x14ac:dyDescent="0.35">
      <c r="A8" s="5">
        <v>13</v>
      </c>
      <c r="B8" s="13" t="s">
        <v>17</v>
      </c>
      <c r="C8" s="13"/>
      <c r="D8" s="6"/>
      <c r="E8" s="7"/>
      <c r="F8" s="8"/>
      <c r="G8" s="9">
        <v>4.2200000000000001E-2</v>
      </c>
      <c r="H8" s="10">
        <v>0.63300000000000001</v>
      </c>
      <c r="I8" s="5">
        <v>1</v>
      </c>
      <c r="J8" s="12">
        <v>0.63272790000000001</v>
      </c>
    </row>
    <row r="9" spans="1:10" ht="39" customHeight="1" x14ac:dyDescent="0.35">
      <c r="A9" s="5">
        <v>14</v>
      </c>
      <c r="B9" s="6" t="s">
        <v>18</v>
      </c>
      <c r="C9" s="6"/>
      <c r="D9" s="6"/>
      <c r="E9" s="7"/>
      <c r="F9" s="8"/>
      <c r="G9" s="9">
        <v>5.0000000000000001E-4</v>
      </c>
      <c r="H9" s="10">
        <v>7.0000000000000001E-3</v>
      </c>
      <c r="I9" s="5">
        <v>1</v>
      </c>
      <c r="J9" s="12">
        <v>6.8954000000000003E-3</v>
      </c>
    </row>
    <row r="10" spans="1:10" ht="46.5" customHeight="1" x14ac:dyDescent="0.35">
      <c r="A10" s="5">
        <v>16</v>
      </c>
      <c r="B10" s="6" t="s">
        <v>19</v>
      </c>
      <c r="C10" s="6"/>
      <c r="D10" s="6"/>
      <c r="E10" s="7"/>
      <c r="F10" s="8"/>
      <c r="G10" s="9">
        <v>3.2000000000000002E-3</v>
      </c>
      <c r="H10" s="10">
        <v>4.9000000000000002E-2</v>
      </c>
      <c r="I10" s="5">
        <v>1</v>
      </c>
      <c r="J10" s="12">
        <v>4.8567600000000002E-2</v>
      </c>
    </row>
    <row r="11" spans="1:10" ht="42" customHeight="1" x14ac:dyDescent="0.35">
      <c r="A11" s="5">
        <v>18</v>
      </c>
      <c r="B11" s="6" t="s">
        <v>20</v>
      </c>
      <c r="C11" s="6"/>
      <c r="D11" s="6"/>
      <c r="E11" s="7"/>
      <c r="F11" s="8"/>
      <c r="G11" s="9">
        <v>1E-4</v>
      </c>
      <c r="H11" s="10">
        <v>2E-3</v>
      </c>
      <c r="I11" s="5">
        <v>4</v>
      </c>
      <c r="J11" s="12">
        <v>7.7948000000000002E-3</v>
      </c>
    </row>
    <row r="12" spans="1:10" ht="38.5" customHeight="1" x14ac:dyDescent="0.35">
      <c r="A12" s="5">
        <v>23</v>
      </c>
      <c r="B12" s="6" t="s">
        <v>21</v>
      </c>
      <c r="C12" s="6"/>
      <c r="D12" s="6"/>
      <c r="E12" s="7"/>
      <c r="F12" s="8"/>
      <c r="G12" s="9">
        <v>1.2500000000000001E-2</v>
      </c>
      <c r="H12" s="10">
        <v>0.188</v>
      </c>
      <c r="I12" s="5">
        <v>1</v>
      </c>
      <c r="J12" s="12">
        <v>0.1876748</v>
      </c>
    </row>
    <row r="13" spans="1:10" ht="42" customHeight="1" x14ac:dyDescent="0.35">
      <c r="A13" s="5">
        <v>20</v>
      </c>
      <c r="B13" s="6" t="s">
        <v>22</v>
      </c>
      <c r="C13" s="6"/>
      <c r="D13" s="6"/>
      <c r="E13" s="7"/>
      <c r="F13" s="8"/>
      <c r="G13" s="9">
        <v>1.95E-2</v>
      </c>
      <c r="H13" s="10">
        <v>0.29299999999999998</v>
      </c>
      <c r="I13" s="5">
        <v>1</v>
      </c>
      <c r="J13" s="12">
        <v>0.2926048</v>
      </c>
    </row>
    <row r="14" spans="1:10" ht="57.5" customHeight="1" x14ac:dyDescent="0.35">
      <c r="A14" s="5">
        <v>7</v>
      </c>
      <c r="B14" s="6" t="s">
        <v>23</v>
      </c>
      <c r="C14" s="6"/>
      <c r="D14" s="14" t="s">
        <v>24</v>
      </c>
      <c r="E14" s="15" t="s">
        <v>25</v>
      </c>
      <c r="F14" s="16">
        <v>28.09</v>
      </c>
      <c r="G14" s="17">
        <v>10</v>
      </c>
      <c r="H14" s="10">
        <v>2.8090000000000002</v>
      </c>
      <c r="I14" s="5">
        <v>2</v>
      </c>
      <c r="J14" s="10">
        <v>5.6180000000000003</v>
      </c>
    </row>
    <row r="15" spans="1:10" ht="56.5" customHeight="1" x14ac:dyDescent="0.35">
      <c r="A15" s="5">
        <v>8</v>
      </c>
      <c r="B15" s="13" t="s">
        <v>26</v>
      </c>
      <c r="C15" s="13"/>
      <c r="D15" s="14" t="s">
        <v>27</v>
      </c>
      <c r="E15" s="15" t="s">
        <v>28</v>
      </c>
      <c r="F15" s="16">
        <v>2.65</v>
      </c>
      <c r="G15" s="17">
        <v>50</v>
      </c>
      <c r="H15" s="10">
        <v>5.2999999999999999E-2</v>
      </c>
      <c r="I15" s="5">
        <v>6</v>
      </c>
      <c r="J15" s="10">
        <v>0.318</v>
      </c>
    </row>
    <row r="16" spans="1:10" ht="77.5" customHeight="1" x14ac:dyDescent="0.35">
      <c r="A16" s="5">
        <v>9</v>
      </c>
      <c r="B16" s="6" t="s">
        <v>29</v>
      </c>
      <c r="C16" s="6"/>
      <c r="D16" s="14" t="s">
        <v>30</v>
      </c>
      <c r="E16" s="15" t="s">
        <v>31</v>
      </c>
      <c r="F16" s="16">
        <v>7.78</v>
      </c>
      <c r="G16" s="17">
        <v>10</v>
      </c>
      <c r="H16" s="10">
        <v>0.77800000000000002</v>
      </c>
      <c r="I16" s="5">
        <v>2</v>
      </c>
      <c r="J16" s="10">
        <v>1.556</v>
      </c>
    </row>
    <row r="17" spans="1:10" ht="48" customHeight="1" x14ac:dyDescent="0.35">
      <c r="A17" s="5">
        <v>10</v>
      </c>
      <c r="B17" s="6" t="s">
        <v>32</v>
      </c>
      <c r="C17" s="6"/>
      <c r="D17" s="14" t="s">
        <v>33</v>
      </c>
      <c r="E17" s="15" t="s">
        <v>34</v>
      </c>
      <c r="F17" s="16">
        <v>3.29</v>
      </c>
      <c r="G17" s="17">
        <v>50</v>
      </c>
      <c r="H17" s="10">
        <v>6.6000000000000003E-2</v>
      </c>
      <c r="I17" s="5">
        <v>10</v>
      </c>
      <c r="J17" s="10">
        <v>0.65800000000000003</v>
      </c>
    </row>
    <row r="18" spans="1:10" ht="59" customHeight="1" x14ac:dyDescent="0.35">
      <c r="A18" s="5">
        <v>12</v>
      </c>
      <c r="B18" s="6" t="s">
        <v>35</v>
      </c>
      <c r="C18" s="6"/>
      <c r="D18" s="14" t="s">
        <v>36</v>
      </c>
      <c r="E18" s="15" t="s">
        <v>34</v>
      </c>
      <c r="F18" s="16">
        <v>3.29</v>
      </c>
      <c r="G18" s="17">
        <v>20</v>
      </c>
      <c r="H18" s="10">
        <v>0.16500000000000001</v>
      </c>
      <c r="I18" s="5">
        <v>4</v>
      </c>
      <c r="J18" s="10">
        <v>0.65800000000000003</v>
      </c>
    </row>
    <row r="19" spans="1:10" ht="41" customHeight="1" x14ac:dyDescent="0.35">
      <c r="A19" s="5">
        <v>15</v>
      </c>
      <c r="B19" s="6" t="s">
        <v>37</v>
      </c>
      <c r="C19" s="6"/>
      <c r="D19" s="14" t="s">
        <v>38</v>
      </c>
      <c r="E19" s="15" t="s">
        <v>39</v>
      </c>
      <c r="F19" s="16">
        <v>1.71</v>
      </c>
      <c r="G19" s="17">
        <v>50</v>
      </c>
      <c r="H19" s="10">
        <v>3.4000000000000002E-2</v>
      </c>
      <c r="I19" s="5">
        <v>4</v>
      </c>
      <c r="J19" s="9">
        <v>0.1368</v>
      </c>
    </row>
    <row r="20" spans="1:10" ht="42" x14ac:dyDescent="0.35">
      <c r="A20" s="5">
        <v>17</v>
      </c>
      <c r="B20" s="6" t="s">
        <v>40</v>
      </c>
      <c r="C20" s="6"/>
      <c r="D20" s="14" t="s">
        <v>41</v>
      </c>
      <c r="E20" s="15" t="s">
        <v>42</v>
      </c>
      <c r="F20" s="18">
        <v>60</v>
      </c>
      <c r="G20" s="17">
        <v>1</v>
      </c>
      <c r="H20" s="10">
        <v>60</v>
      </c>
      <c r="I20" s="5">
        <v>1</v>
      </c>
      <c r="J20" s="18">
        <v>60</v>
      </c>
    </row>
    <row r="21" spans="1:10" ht="60" customHeight="1" x14ac:dyDescent="0.35">
      <c r="A21" s="5">
        <v>19</v>
      </c>
      <c r="B21" s="6" t="s">
        <v>43</v>
      </c>
      <c r="C21" s="6"/>
      <c r="D21" s="14" t="s">
        <v>44</v>
      </c>
      <c r="E21" s="15" t="s">
        <v>45</v>
      </c>
      <c r="F21" s="16">
        <v>8.2899999999999991</v>
      </c>
      <c r="G21" s="17">
        <v>8</v>
      </c>
      <c r="H21" s="10">
        <v>1.036</v>
      </c>
      <c r="I21" s="5">
        <v>1</v>
      </c>
      <c r="J21" s="19">
        <v>1.0362499999999999</v>
      </c>
    </row>
    <row r="22" spans="1:10" ht="53.5" customHeight="1" x14ac:dyDescent="0.35">
      <c r="A22" s="5">
        <v>21</v>
      </c>
      <c r="B22" s="6" t="s">
        <v>46</v>
      </c>
      <c r="C22" s="6"/>
      <c r="D22" s="14" t="s">
        <v>47</v>
      </c>
      <c r="E22" s="15" t="s">
        <v>28</v>
      </c>
      <c r="F22" s="17">
        <v>2.1</v>
      </c>
      <c r="G22" s="17">
        <v>50</v>
      </c>
      <c r="H22" s="10">
        <v>4.2000000000000003E-2</v>
      </c>
      <c r="I22" s="5">
        <v>6</v>
      </c>
      <c r="J22" s="10">
        <v>0.252</v>
      </c>
    </row>
    <row r="23" spans="1:10" ht="58.5" x14ac:dyDescent="0.35">
      <c r="A23" s="5">
        <v>22</v>
      </c>
      <c r="B23" s="6" t="s">
        <v>62</v>
      </c>
      <c r="C23" s="6"/>
      <c r="D23" s="14" t="s">
        <v>48</v>
      </c>
      <c r="E23" s="21" t="s">
        <v>61</v>
      </c>
      <c r="F23" s="16">
        <v>6.09</v>
      </c>
      <c r="G23" s="17">
        <v>8</v>
      </c>
      <c r="H23" s="10">
        <v>0.76100000000000001</v>
      </c>
      <c r="I23" s="5">
        <v>6</v>
      </c>
      <c r="J23" s="9">
        <v>4.5674999999999999</v>
      </c>
    </row>
    <row r="24" spans="1:10" ht="73" customHeight="1" x14ac:dyDescent="0.35">
      <c r="A24" s="5">
        <v>24</v>
      </c>
      <c r="B24" s="6" t="s">
        <v>49</v>
      </c>
      <c r="C24" s="6"/>
      <c r="D24" s="14" t="s">
        <v>50</v>
      </c>
      <c r="E24" s="15" t="s">
        <v>51</v>
      </c>
      <c r="F24" s="16">
        <v>13.19</v>
      </c>
      <c r="G24" s="17">
        <v>10</v>
      </c>
      <c r="H24" s="10">
        <v>1.319</v>
      </c>
      <c r="I24" s="5">
        <v>1</v>
      </c>
      <c r="J24" s="10">
        <v>1.319</v>
      </c>
    </row>
    <row r="25" spans="1:10" ht="58" customHeight="1" x14ac:dyDescent="0.35">
      <c r="A25" s="5">
        <v>25</v>
      </c>
      <c r="B25" s="6" t="s">
        <v>52</v>
      </c>
      <c r="C25" s="6"/>
      <c r="D25" s="14" t="s">
        <v>53</v>
      </c>
      <c r="E25" s="15" t="s">
        <v>54</v>
      </c>
      <c r="F25" s="16">
        <v>9.19</v>
      </c>
      <c r="G25" s="17">
        <v>100</v>
      </c>
      <c r="H25" s="10">
        <v>9.1999999999999998E-2</v>
      </c>
      <c r="I25" s="5">
        <v>30</v>
      </c>
      <c r="J25" s="10">
        <v>2.7570000000000001</v>
      </c>
    </row>
    <row r="26" spans="1:10" ht="50" customHeight="1" x14ac:dyDescent="0.35">
      <c r="A26" s="5">
        <v>26</v>
      </c>
      <c r="B26" s="6" t="s">
        <v>55</v>
      </c>
      <c r="C26" s="6"/>
      <c r="D26" s="14" t="s">
        <v>53</v>
      </c>
      <c r="E26" s="15" t="s">
        <v>56</v>
      </c>
      <c r="F26" s="16">
        <v>7.29</v>
      </c>
      <c r="G26" s="17">
        <v>100</v>
      </c>
      <c r="H26" s="10">
        <v>7.2999999999999995E-2</v>
      </c>
      <c r="I26" s="5">
        <v>6</v>
      </c>
      <c r="J26" s="9">
        <v>0.43740000000000001</v>
      </c>
    </row>
    <row r="27" spans="1:10" ht="39" x14ac:dyDescent="0.35">
      <c r="A27" s="18">
        <v>27</v>
      </c>
      <c r="B27" s="6" t="s">
        <v>57</v>
      </c>
      <c r="C27" s="6"/>
      <c r="D27" s="14" t="s">
        <v>58</v>
      </c>
      <c r="E27" s="15" t="s">
        <v>59</v>
      </c>
      <c r="F27" s="16">
        <v>14</v>
      </c>
      <c r="G27" s="17">
        <v>50</v>
      </c>
      <c r="H27" s="10">
        <f>14/50</f>
        <v>0.28000000000000003</v>
      </c>
      <c r="I27" s="5">
        <v>1</v>
      </c>
      <c r="J27" s="10">
        <f>H27</f>
        <v>0.28000000000000003</v>
      </c>
    </row>
    <row r="28" spans="1:10" ht="21" customHeight="1" x14ac:dyDescent="0.35">
      <c r="A28" s="20" t="s">
        <v>60</v>
      </c>
      <c r="B28" s="20"/>
      <c r="C28" s="20"/>
      <c r="D28" s="20"/>
      <c r="E28" s="20"/>
      <c r="F28" s="20"/>
      <c r="G28" s="20"/>
      <c r="H28" s="20"/>
      <c r="I28" s="20"/>
      <c r="J28" s="16">
        <v>81.93</v>
      </c>
    </row>
  </sheetData>
  <mergeCells count="31">
    <mergeCell ref="B26:C26"/>
    <mergeCell ref="B27:C27"/>
    <mergeCell ref="A28:I28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1:C1"/>
    <mergeCell ref="B2:C2"/>
    <mergeCell ref="D2:D13"/>
    <mergeCell ref="E2:E13"/>
    <mergeCell ref="F2:F13"/>
    <mergeCell ref="B3:C3"/>
    <mergeCell ref="B4:C4"/>
    <mergeCell ref="B5:C5"/>
    <mergeCell ref="B6:C6"/>
    <mergeCell ref="B7:C7"/>
  </mergeCells>
  <hyperlinks>
    <hyperlink ref="E2" r:id="rId1" xr:uid="{5306C4E3-7F15-46A2-927D-103A96EF6C09}"/>
    <hyperlink ref="E14" r:id="rId2" xr:uid="{943B9574-D0CC-473C-93F9-1D0DF2028C4F}"/>
    <hyperlink ref="E15" r:id="rId3" xr:uid="{CDB03A44-C043-4CAE-8B86-D8CD8CA36343}"/>
    <hyperlink ref="E16" r:id="rId4" xr:uid="{7A7FA5F8-C0CE-4B08-80CB-9473567C32AC}"/>
    <hyperlink ref="E17" r:id="rId5" xr:uid="{847F8407-7B0F-419E-A6E1-3116ECA75C6B}"/>
    <hyperlink ref="E18" r:id="rId6" xr:uid="{25A8DC90-7BEF-4365-99AF-6A7AF9D6C033}"/>
    <hyperlink ref="E19" r:id="rId7" xr:uid="{DDC682BD-0E9A-47DF-9123-DDEAEC9BB367}"/>
    <hyperlink ref="E20" r:id="rId8" xr:uid="{183B3053-992E-4546-A595-C2A92BC348CF}"/>
    <hyperlink ref="E21" r:id="rId9" xr:uid="{53162484-4C02-4767-8750-09B7CAA9607D}"/>
    <hyperlink ref="E22" r:id="rId10" xr:uid="{E20520BA-B86F-429F-9E2C-45002F9E753E}"/>
    <hyperlink ref="E23" r:id="rId11" xr:uid="{3FC5F1AD-B7E2-41EF-AD72-EE228AC0658D}"/>
    <hyperlink ref="E24" r:id="rId12" xr:uid="{82427F55-097A-4FDC-B80E-810255375E2E}"/>
    <hyperlink ref="E25" r:id="rId13" xr:uid="{6EBD9585-1A82-4DC7-BA0B-4448254F7061}"/>
    <hyperlink ref="E26" r:id="rId14" xr:uid="{919DADBC-C7D7-426F-BF84-2EBBB13A2E6E}"/>
    <hyperlink ref="E27" r:id="rId15" xr:uid="{612D6538-EE24-4CCD-9660-A3710BA701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jiang</dc:creator>
  <cp:lastModifiedBy>jiale jiang</cp:lastModifiedBy>
  <dcterms:created xsi:type="dcterms:W3CDTF">2026-09-04T05:50:52Z</dcterms:created>
  <dcterms:modified xsi:type="dcterms:W3CDTF">2026-09-04T05:53:38Z</dcterms:modified>
</cp:coreProperties>
</file>