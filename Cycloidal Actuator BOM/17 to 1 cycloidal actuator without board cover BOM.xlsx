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axi\Downloads\"/>
    </mc:Choice>
  </mc:AlternateContent>
  <xr:revisionPtr revIDLastSave="0" documentId="8_{A51429BF-25BD-4B69-8C89-2E6A32AD62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1" l="1"/>
  <c r="H27" i="1"/>
</calcChain>
</file>

<file path=xl/sharedStrings.xml><?xml version="1.0" encoding="utf-8"?>
<sst xmlns="http://schemas.openxmlformats.org/spreadsheetml/2006/main" count="66" uniqueCount="63">
  <si>
    <t>https://www.aliexpress.us/item/3256810015574251.html</t>
  </si>
  <si>
    <t>ITEM NO.</t>
  </si>
  <si>
    <t>PART NUMBER</t>
  </si>
  <si>
    <t>DESCRIPTION</t>
  </si>
  <si>
    <t>Web Link for Purchasing</t>
  </si>
  <si>
    <t>Cost per Time Purchased($)</t>
  </si>
  <si>
    <t>Quantity Per Time Purchased (pcs &amp; kg)</t>
  </si>
  <si>
    <t>Part Unit Cost Per Purcahse($)</t>
  </si>
  <si>
    <t>QTY.</t>
  </si>
  <si>
    <t>Cost per Assembly</t>
  </si>
  <si>
    <t>Ring Gear</t>
  </si>
  <si>
    <t>3D printed PLA</t>
  </si>
  <si>
    <r>
      <rPr>
        <u/>
        <sz val="16"/>
        <color rgb="FF467785"/>
        <rFont val="Calibri"/>
        <family val="2"/>
      </rPr>
      <t>https://a.co/d/0gjZemYR</t>
    </r>
  </si>
  <si>
    <t>Opposite Ring Gear</t>
  </si>
  <si>
    <t>Cycloidal Gear</t>
  </si>
  <si>
    <t>Input Shaft</t>
  </si>
  <si>
    <t>Spacer Washer</t>
  </si>
  <si>
    <t>Bearing Spacer Big</t>
  </si>
  <si>
    <r>
      <rPr>
        <sz val="16"/>
        <rFont val="Verdana"/>
        <family val="2"/>
      </rPr>
      <t>HM155kV Motor
Mount V2</t>
    </r>
  </si>
  <si>
    <t>Encoder Magnent Mount</t>
  </si>
  <si>
    <t>Shaft Coupler for HM155KV</t>
  </si>
  <si>
    <t>FOC Board Spacer</t>
  </si>
  <si>
    <t>V3 Output Shaft Opposite</t>
  </si>
  <si>
    <t>V2 Output Shaft</t>
  </si>
  <si>
    <t>50mm*65mm*7mm Ball Bearing</t>
  </si>
  <si>
    <t>Bearing For both Ring Gears</t>
  </si>
  <si>
    <r>
      <rPr>
        <u/>
        <sz val="16"/>
        <color rgb="FF467785"/>
        <rFont val="Calibri"/>
        <family val="2"/>
      </rPr>
      <t>https://a.co/d/0iJVO1oG</t>
    </r>
  </si>
  <si>
    <r>
      <rPr>
        <sz val="16"/>
        <rFont val="Verdana"/>
        <family val="2"/>
      </rPr>
      <t>M3*0.5 BY 25mm
Socket Head Screw</t>
    </r>
  </si>
  <si>
    <t>Screw to secure two Ring Gears together</t>
  </si>
  <si>
    <r>
      <rPr>
        <u/>
        <sz val="16"/>
        <color rgb="FF467785"/>
        <rFont val="Calibri"/>
        <family val="2"/>
      </rPr>
      <t>https://www.aliexpress.us/item/2251832255868282.html</t>
    </r>
  </si>
  <si>
    <t>15mm by 24mm by 5mm Ball Bearing</t>
  </si>
  <si>
    <t>Beaing for Cycloidal Gear</t>
  </si>
  <si>
    <r>
      <rPr>
        <u/>
        <sz val="16"/>
        <color rgb="FF467785"/>
        <rFont val="Calibri"/>
        <family val="2"/>
      </rPr>
      <t>https://www.aliexpress.us/item/3256805951929226.html</t>
    </r>
  </si>
  <si>
    <t>M3 by 8mm Button Head Cap Screw</t>
  </si>
  <si>
    <t>Screw for both Motor Mount and Motor Coupler connection</t>
  </si>
  <si>
    <r>
      <rPr>
        <u/>
        <sz val="16"/>
        <color rgb="FF467785"/>
        <rFont val="Calibri"/>
        <family val="2"/>
      </rPr>
      <t>https://www.aliexpress.us/item/3256807424674896.html</t>
    </r>
  </si>
  <si>
    <t>M4 by 8mm Button Head Cap Screw</t>
  </si>
  <si>
    <t>Screw to secure the HM155kv onto Motor Mount</t>
  </si>
  <si>
    <t>M3 by 2.4mm Hex Nut</t>
  </si>
  <si>
    <t>Nut to secure the FOC Board</t>
  </si>
  <si>
    <r>
      <rPr>
        <u/>
        <sz val="16"/>
        <color rgb="FF467785"/>
        <rFont val="Calibri"/>
        <family val="2"/>
      </rPr>
      <t>https://www.aliexpress.us/item/3256807507915715.html</t>
    </r>
  </si>
  <si>
    <t>HM-6208 motor</t>
  </si>
  <si>
    <t>Electric Motor</t>
  </si>
  <si>
    <r>
      <rPr>
        <u/>
        <sz val="16"/>
        <color rgb="FF467785"/>
        <rFont val="Calibri"/>
        <family val="2"/>
      </rPr>
      <t>https://www.hobbywingdirect.com/products/xrotor-m-6208-motor-ul</t>
    </r>
  </si>
  <si>
    <t>22mm*10mm*6mm Ball Bearing</t>
  </si>
  <si>
    <t>Bearing to secure the Input Shaft</t>
  </si>
  <si>
    <r>
      <rPr>
        <u/>
        <sz val="16"/>
        <color rgb="FF467785"/>
        <rFont val="Calibri"/>
        <family val="2"/>
      </rPr>
      <t>https://a.co/d/02soELBD</t>
    </r>
  </si>
  <si>
    <t>M2.5 by 25mm Socket Head Screw</t>
  </si>
  <si>
    <t>Screw to secure and strengthen the Ouput Shaft</t>
  </si>
  <si>
    <t>8mm*10mm*12mm Sleeve Bearing</t>
  </si>
  <si>
    <t>Bearing to be used at the contact of Cycloidal Gear and the Output Shaft</t>
  </si>
  <si>
    <r>
      <rPr>
        <u/>
        <sz val="16"/>
        <color rgb="FF467785"/>
        <rFont val="Calibri"/>
        <family val="2"/>
      </rPr>
      <t>https://a.co/d/0ckISucZ</t>
    </r>
  </si>
  <si>
    <t>25mm*37mm*7mm Bearing</t>
  </si>
  <si>
    <t>Bearing to secure the Motor Coupler and the Input Shaft on the Output Shaft</t>
  </si>
  <si>
    <r>
      <rPr>
        <u/>
        <sz val="16"/>
        <color rgb="FF467785"/>
        <rFont val="Calibri"/>
        <family val="2"/>
      </rPr>
      <t>https://a.co/d/0cG1vUeo</t>
    </r>
  </si>
  <si>
    <t>M3 by 5mm by 6mm Heat Insert</t>
  </si>
  <si>
    <t>Heat Insert Nut for screw connection</t>
  </si>
  <si>
    <r>
      <rPr>
        <u/>
        <sz val="16"/>
        <color rgb="FF467785"/>
        <rFont val="Calibri"/>
        <family val="2"/>
      </rPr>
      <t>https://a.co/d/02RLsYz4</t>
    </r>
  </si>
  <si>
    <t>M2.5 by 4mm by 6mm Heat Insert</t>
  </si>
  <si>
    <r>
      <rPr>
        <u/>
        <sz val="16"/>
        <color rgb="FF467785"/>
        <rFont val="Calibri"/>
        <family val="2"/>
      </rPr>
      <t>https://a.co/d/0hLzXpKN</t>
    </r>
  </si>
  <si>
    <t>Encoder Magnent</t>
  </si>
  <si>
    <t>Used on Encoder Magnent Mount for Position Feedback</t>
  </si>
  <si>
    <t>Total Cost Per Assembly($):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</si>
</sst>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0.000"/>
    <numFmt numFmtId="166" formatCode="0.000000"/>
    <numFmt numFmtId="167" formatCode="0.0000000"/>
    <numFmt numFmtId="168" formatCode="0.0"/>
    <numFmt numFmtId="169" formatCode="0.00000"/>
  </numFmts>
  <fonts count="9" x14ac:knownFonts="1">
    <font>
      <sz val="10"/>
      <color rgb="FF000000"/>
      <name val="Times New Roman"/>
      <charset val="204"/>
    </font>
    <font>
      <b/>
      <sz val="16"/>
      <name val="Tahoma"/>
      <family val="2"/>
    </font>
    <font>
      <b/>
      <sz val="16"/>
      <name val="Calibri"/>
      <family val="2"/>
    </font>
    <font>
      <sz val="16"/>
      <color rgb="FF000000"/>
      <name val="Verdana"/>
      <family val="2"/>
    </font>
    <font>
      <sz val="16"/>
      <name val="Verdana"/>
      <family val="2"/>
    </font>
    <font>
      <sz val="16"/>
      <name val="Calibri"/>
      <family val="2"/>
    </font>
    <font>
      <u/>
      <sz val="16"/>
      <color rgb="FF467785"/>
      <name val="Calibri"/>
      <family val="2"/>
    </font>
    <font>
      <sz val="16"/>
      <color rgb="FF000000"/>
      <name val="Calibri"/>
      <family val="2"/>
    </font>
    <font>
      <sz val="16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left" vertical="top"/>
    </xf>
    <xf numFmtId="0" fontId="5" fillId="0" borderId="4" xfId="0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 shrinkToFit="1"/>
    </xf>
    <xf numFmtId="1" fontId="3" fillId="0" borderId="4" xfId="0" applyNumberFormat="1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 shrinkToFit="1"/>
    </xf>
    <xf numFmtId="168" fontId="7" fillId="0" borderId="4" xfId="0" applyNumberFormat="1" applyFont="1" applyBorder="1" applyAlignment="1">
      <alignment horizontal="center" vertical="center" shrinkToFit="1"/>
    </xf>
    <xf numFmtId="165" fontId="7" fillId="0" borderId="4" xfId="0" applyNumberFormat="1" applyFont="1" applyBorder="1" applyAlignment="1">
      <alignment horizontal="center" vertical="center" shrinkToFit="1"/>
    </xf>
    <xf numFmtId="164" fontId="7" fillId="0" borderId="4" xfId="0" applyNumberFormat="1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7" fillId="0" borderId="4" xfId="0" applyNumberFormat="1" applyFont="1" applyBorder="1" applyAlignment="1">
      <alignment horizontal="center" vertical="center" shrinkToFit="1"/>
    </xf>
    <xf numFmtId="167" fontId="7" fillId="0" borderId="4" xfId="0" applyNumberFormat="1" applyFont="1" applyBorder="1" applyAlignment="1">
      <alignment horizontal="center" vertical="center" shrinkToFit="1"/>
    </xf>
    <xf numFmtId="0" fontId="8" fillId="0" borderId="4" xfId="0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shrinkToFit="1"/>
    </xf>
    <xf numFmtId="169" fontId="7" fillId="0" borderId="4" xfId="0" applyNumberFormat="1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74663</xdr:colOff>
      <xdr:row>29</xdr:row>
      <xdr:rowOff>0</xdr:rowOff>
    </xdr:from>
    <xdr:ext cx="2252980" cy="407034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2252980" cy="407034"/>
        </a:xfrm>
        <a:custGeom>
          <a:avLst/>
          <a:gdLst/>
          <a:ahLst/>
          <a:cxnLst/>
          <a:rect l="0" t="0" r="0" b="0"/>
          <a:pathLst>
            <a:path w="2252980" h="407034">
              <a:moveTo>
                <a:pt x="2252484" y="0"/>
              </a:moveTo>
              <a:lnTo>
                <a:pt x="0" y="0"/>
              </a:lnTo>
              <a:lnTo>
                <a:pt x="0" y="12192"/>
              </a:lnTo>
              <a:lnTo>
                <a:pt x="2240292" y="12192"/>
              </a:lnTo>
              <a:lnTo>
                <a:pt x="2240292" y="406920"/>
              </a:lnTo>
              <a:lnTo>
                <a:pt x="2252484" y="406920"/>
              </a:lnTo>
              <a:lnTo>
                <a:pt x="2252484" y="12192"/>
              </a:lnTo>
              <a:lnTo>
                <a:pt x="225248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obbywingdirect.com/products/xrotor-m-6208-motor-ul" TargetMode="External"/><Relationship Id="rId13" Type="http://schemas.openxmlformats.org/officeDocument/2006/relationships/hyperlink" Target="https://a.co/d/02RLsYz4" TargetMode="External"/><Relationship Id="rId3" Type="http://schemas.openxmlformats.org/officeDocument/2006/relationships/hyperlink" Target="https://www.aliexpress.us/item/2251832255868282.html" TargetMode="External"/><Relationship Id="rId7" Type="http://schemas.openxmlformats.org/officeDocument/2006/relationships/hyperlink" Target="https://www.aliexpress.us/item/3256807507915715.html" TargetMode="External"/><Relationship Id="rId12" Type="http://schemas.openxmlformats.org/officeDocument/2006/relationships/hyperlink" Target="https://a.co/d/0cG1vUeo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a.co/d/0iJVO1oG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a.co/d/0gjZemYR" TargetMode="External"/><Relationship Id="rId6" Type="http://schemas.openxmlformats.org/officeDocument/2006/relationships/hyperlink" Target="https://www.aliexpress.us/item/3256807424674896.html" TargetMode="External"/><Relationship Id="rId11" Type="http://schemas.openxmlformats.org/officeDocument/2006/relationships/hyperlink" Target="https://a.co/d/0ckISucZ" TargetMode="External"/><Relationship Id="rId5" Type="http://schemas.openxmlformats.org/officeDocument/2006/relationships/hyperlink" Target="https://www.aliexpress.us/item/3256807424674896.html" TargetMode="External"/><Relationship Id="rId15" Type="http://schemas.openxmlformats.org/officeDocument/2006/relationships/hyperlink" Target="https://www.aliexpress.us/item/3256810015574251.html" TargetMode="External"/><Relationship Id="rId10" Type="http://schemas.openxmlformats.org/officeDocument/2006/relationships/hyperlink" Target="https://www.aliexpress.us/item/2251832255868282.html" TargetMode="External"/><Relationship Id="rId4" Type="http://schemas.openxmlformats.org/officeDocument/2006/relationships/hyperlink" Target="https://www.aliexpress.us/item/3256805951929226.html" TargetMode="External"/><Relationship Id="rId9" Type="http://schemas.openxmlformats.org/officeDocument/2006/relationships/hyperlink" Target="https://a.co/d/02soELBD" TargetMode="External"/><Relationship Id="rId14" Type="http://schemas.openxmlformats.org/officeDocument/2006/relationships/hyperlink" Target="https://a.co/d/0hLzXpK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zoomScale="55" zoomScaleNormal="55" workbookViewId="0">
      <selection activeCell="M14" sqref="M14"/>
    </sheetView>
  </sheetViews>
  <sheetFormatPr defaultRowHeight="13" x14ac:dyDescent="0.3"/>
  <cols>
    <col min="1" max="1" width="15.09765625" customWidth="1"/>
    <col min="2" max="2" width="30.19921875" customWidth="1"/>
    <col min="3" max="3" width="19.8984375" customWidth="1"/>
    <col min="4" max="4" width="59.69921875" customWidth="1"/>
    <col min="5" max="5" width="93.69921875" customWidth="1"/>
    <col min="6" max="6" width="44.3984375" customWidth="1"/>
    <col min="7" max="7" width="58.5" customWidth="1"/>
    <col min="8" max="8" width="36.69921875" customWidth="1"/>
    <col min="9" max="9" width="11.59765625" customWidth="1"/>
    <col min="10" max="10" width="26.59765625" customWidth="1"/>
  </cols>
  <sheetData>
    <row r="1" spans="1:10" ht="51.5" customHeight="1" x14ac:dyDescent="0.3">
      <c r="A1" s="13" t="s">
        <v>1</v>
      </c>
      <c r="B1" s="14" t="s">
        <v>2</v>
      </c>
      <c r="C1" s="15"/>
      <c r="D1" s="13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3" t="s">
        <v>8</v>
      </c>
      <c r="J1" s="16" t="s">
        <v>9</v>
      </c>
    </row>
    <row r="2" spans="1:10" ht="34.5" customHeight="1" x14ac:dyDescent="0.3">
      <c r="A2" s="5">
        <v>1</v>
      </c>
      <c r="B2" s="12" t="s">
        <v>10</v>
      </c>
      <c r="C2" s="12"/>
      <c r="D2" s="12" t="s">
        <v>11</v>
      </c>
      <c r="E2" s="3" t="s">
        <v>12</v>
      </c>
      <c r="F2" s="4">
        <v>29.98</v>
      </c>
      <c r="G2" s="11">
        <v>3.0099999999999998E-2</v>
      </c>
      <c r="H2" s="10">
        <v>0.45100000000000001</v>
      </c>
      <c r="I2" s="5">
        <v>1</v>
      </c>
      <c r="J2" s="17">
        <v>0.45119900000000002</v>
      </c>
    </row>
    <row r="3" spans="1:10" ht="33" customHeight="1" x14ac:dyDescent="0.3">
      <c r="A3" s="5">
        <v>2</v>
      </c>
      <c r="B3" s="12" t="s">
        <v>13</v>
      </c>
      <c r="C3" s="12"/>
      <c r="D3" s="12"/>
      <c r="E3" s="3"/>
      <c r="F3" s="4"/>
      <c r="G3" s="11">
        <v>3.0099999999999998E-2</v>
      </c>
      <c r="H3" s="10">
        <v>0.45100000000000001</v>
      </c>
      <c r="I3" s="5">
        <v>1</v>
      </c>
      <c r="J3" s="17">
        <v>0.45119900000000002</v>
      </c>
    </row>
    <row r="4" spans="1:10" ht="31" customHeight="1" x14ac:dyDescent="0.3">
      <c r="A4" s="5">
        <v>3</v>
      </c>
      <c r="B4" s="12" t="s">
        <v>14</v>
      </c>
      <c r="C4" s="12"/>
      <c r="D4" s="12"/>
      <c r="E4" s="3"/>
      <c r="F4" s="4"/>
      <c r="G4" s="11">
        <v>1.15E-2</v>
      </c>
      <c r="H4" s="10">
        <v>0.17199999999999999</v>
      </c>
      <c r="I4" s="5">
        <v>2</v>
      </c>
      <c r="J4" s="18">
        <v>0.3444702</v>
      </c>
    </row>
    <row r="5" spans="1:10" ht="31" customHeight="1" x14ac:dyDescent="0.3">
      <c r="A5" s="5">
        <v>4</v>
      </c>
      <c r="B5" s="12" t="s">
        <v>15</v>
      </c>
      <c r="C5" s="12"/>
      <c r="D5" s="12"/>
      <c r="E5" s="3"/>
      <c r="F5" s="4"/>
      <c r="G5" s="11">
        <v>3.5999999999999999E-3</v>
      </c>
      <c r="H5" s="10">
        <v>5.3999999999999999E-2</v>
      </c>
      <c r="I5" s="5">
        <v>1</v>
      </c>
      <c r="J5" s="18">
        <v>5.3514300000000001E-2</v>
      </c>
    </row>
    <row r="6" spans="1:10" ht="32" customHeight="1" x14ac:dyDescent="0.3">
      <c r="A6" s="5">
        <v>6</v>
      </c>
      <c r="B6" s="12" t="s">
        <v>16</v>
      </c>
      <c r="C6" s="12"/>
      <c r="D6" s="12"/>
      <c r="E6" s="3"/>
      <c r="F6" s="4"/>
      <c r="G6" s="11">
        <v>2.0000000000000001E-4</v>
      </c>
      <c r="H6" s="10">
        <v>2E-3</v>
      </c>
      <c r="I6" s="5">
        <v>1</v>
      </c>
      <c r="J6" s="18">
        <v>2.3984000000000002E-3</v>
      </c>
    </row>
    <row r="7" spans="1:10" ht="34" customHeight="1" x14ac:dyDescent="0.3">
      <c r="A7" s="5">
        <v>11</v>
      </c>
      <c r="B7" s="12" t="s">
        <v>17</v>
      </c>
      <c r="C7" s="12"/>
      <c r="D7" s="12"/>
      <c r="E7" s="3"/>
      <c r="F7" s="4"/>
      <c r="G7" s="11">
        <v>4.0000000000000002E-4</v>
      </c>
      <c r="H7" s="10">
        <v>6.0000000000000001E-3</v>
      </c>
      <c r="I7" s="5">
        <v>1</v>
      </c>
      <c r="J7" s="18">
        <v>5.5462999999999997E-3</v>
      </c>
    </row>
    <row r="8" spans="1:10" ht="51.5" customHeight="1" x14ac:dyDescent="0.3">
      <c r="A8" s="5">
        <v>13</v>
      </c>
      <c r="B8" s="19" t="s">
        <v>18</v>
      </c>
      <c r="C8" s="19"/>
      <c r="D8" s="12"/>
      <c r="E8" s="3"/>
      <c r="F8" s="4"/>
      <c r="G8" s="11">
        <v>4.2200000000000001E-2</v>
      </c>
      <c r="H8" s="10">
        <v>0.63300000000000001</v>
      </c>
      <c r="I8" s="5">
        <v>1</v>
      </c>
      <c r="J8" s="18">
        <v>0.63272790000000001</v>
      </c>
    </row>
    <row r="9" spans="1:10" ht="34" customHeight="1" x14ac:dyDescent="0.3">
      <c r="A9" s="5">
        <v>14</v>
      </c>
      <c r="B9" s="12" t="s">
        <v>19</v>
      </c>
      <c r="C9" s="12"/>
      <c r="D9" s="12"/>
      <c r="E9" s="3"/>
      <c r="F9" s="4"/>
      <c r="G9" s="11">
        <v>5.0000000000000001E-4</v>
      </c>
      <c r="H9" s="10">
        <v>7.0000000000000001E-3</v>
      </c>
      <c r="I9" s="5">
        <v>1</v>
      </c>
      <c r="J9" s="18">
        <v>6.8954000000000003E-3</v>
      </c>
    </row>
    <row r="10" spans="1:10" ht="56.5" customHeight="1" x14ac:dyDescent="0.3">
      <c r="A10" s="5">
        <v>16</v>
      </c>
      <c r="B10" s="12" t="s">
        <v>20</v>
      </c>
      <c r="C10" s="12"/>
      <c r="D10" s="12"/>
      <c r="E10" s="3"/>
      <c r="F10" s="4"/>
      <c r="G10" s="11">
        <v>3.2000000000000002E-3</v>
      </c>
      <c r="H10" s="10">
        <v>4.9000000000000002E-2</v>
      </c>
      <c r="I10" s="5">
        <v>1</v>
      </c>
      <c r="J10" s="18">
        <v>4.8567600000000002E-2</v>
      </c>
    </row>
    <row r="11" spans="1:10" ht="34" customHeight="1" x14ac:dyDescent="0.3">
      <c r="A11" s="5">
        <v>18</v>
      </c>
      <c r="B11" s="12" t="s">
        <v>21</v>
      </c>
      <c r="C11" s="12"/>
      <c r="D11" s="12"/>
      <c r="E11" s="3"/>
      <c r="F11" s="4"/>
      <c r="G11" s="11">
        <v>1E-4</v>
      </c>
      <c r="H11" s="10">
        <v>2E-3</v>
      </c>
      <c r="I11" s="5">
        <v>4</v>
      </c>
      <c r="J11" s="18">
        <v>7.7948000000000002E-3</v>
      </c>
    </row>
    <row r="12" spans="1:10" ht="33" customHeight="1" x14ac:dyDescent="0.3">
      <c r="A12" s="5">
        <v>23</v>
      </c>
      <c r="B12" s="12" t="s">
        <v>22</v>
      </c>
      <c r="C12" s="12"/>
      <c r="D12" s="12"/>
      <c r="E12" s="3"/>
      <c r="F12" s="4"/>
      <c r="G12" s="11">
        <v>1.2500000000000001E-2</v>
      </c>
      <c r="H12" s="10">
        <v>0.188</v>
      </c>
      <c r="I12" s="5">
        <v>1</v>
      </c>
      <c r="J12" s="18">
        <v>0.1876748</v>
      </c>
    </row>
    <row r="13" spans="1:10" ht="40" customHeight="1" x14ac:dyDescent="0.3">
      <c r="A13" s="5">
        <v>20</v>
      </c>
      <c r="B13" s="12" t="s">
        <v>23</v>
      </c>
      <c r="C13" s="12"/>
      <c r="D13" s="12"/>
      <c r="E13" s="3"/>
      <c r="F13" s="4"/>
      <c r="G13" s="11">
        <v>1.95E-2</v>
      </c>
      <c r="H13" s="10">
        <v>0.29299999999999998</v>
      </c>
      <c r="I13" s="5">
        <v>1</v>
      </c>
      <c r="J13" s="18">
        <v>0.2926048</v>
      </c>
    </row>
    <row r="14" spans="1:10" ht="52" customHeight="1" x14ac:dyDescent="0.3">
      <c r="A14" s="5">
        <v>7</v>
      </c>
      <c r="B14" s="12" t="s">
        <v>24</v>
      </c>
      <c r="C14" s="12"/>
      <c r="D14" s="6" t="s">
        <v>25</v>
      </c>
      <c r="E14" s="7" t="s">
        <v>26</v>
      </c>
      <c r="F14" s="8">
        <v>28.09</v>
      </c>
      <c r="G14" s="9">
        <v>10</v>
      </c>
      <c r="H14" s="10">
        <v>2.8090000000000002</v>
      </c>
      <c r="I14" s="5">
        <v>2</v>
      </c>
      <c r="J14" s="10">
        <v>5.6180000000000003</v>
      </c>
    </row>
    <row r="15" spans="1:10" ht="52" customHeight="1" x14ac:dyDescent="0.3">
      <c r="A15" s="5">
        <v>8</v>
      </c>
      <c r="B15" s="19" t="s">
        <v>27</v>
      </c>
      <c r="C15" s="19"/>
      <c r="D15" s="6" t="s">
        <v>28</v>
      </c>
      <c r="E15" s="7" t="s">
        <v>29</v>
      </c>
      <c r="F15" s="8">
        <v>2.65</v>
      </c>
      <c r="G15" s="9">
        <v>50</v>
      </c>
      <c r="H15" s="10">
        <v>5.2999999999999999E-2</v>
      </c>
      <c r="I15" s="5">
        <v>6</v>
      </c>
      <c r="J15" s="10">
        <v>0.318</v>
      </c>
    </row>
    <row r="16" spans="1:10" ht="50" customHeight="1" x14ac:dyDescent="0.3">
      <c r="A16" s="5">
        <v>9</v>
      </c>
      <c r="B16" s="12" t="s">
        <v>30</v>
      </c>
      <c r="C16" s="12"/>
      <c r="D16" s="6" t="s">
        <v>31</v>
      </c>
      <c r="E16" s="7" t="s">
        <v>32</v>
      </c>
      <c r="F16" s="8">
        <v>7.78</v>
      </c>
      <c r="G16" s="9">
        <v>10</v>
      </c>
      <c r="H16" s="10">
        <v>0.77800000000000002</v>
      </c>
      <c r="I16" s="5">
        <v>2</v>
      </c>
      <c r="J16" s="10">
        <v>1.556</v>
      </c>
    </row>
    <row r="17" spans="1:10" ht="51" customHeight="1" x14ac:dyDescent="0.3">
      <c r="A17" s="5">
        <v>10</v>
      </c>
      <c r="B17" s="12" t="s">
        <v>33</v>
      </c>
      <c r="C17" s="12"/>
      <c r="D17" s="6" t="s">
        <v>34</v>
      </c>
      <c r="E17" s="7" t="s">
        <v>35</v>
      </c>
      <c r="F17" s="8">
        <v>3.29</v>
      </c>
      <c r="G17" s="9">
        <v>50</v>
      </c>
      <c r="H17" s="10">
        <v>6.6000000000000003E-2</v>
      </c>
      <c r="I17" s="5">
        <v>10</v>
      </c>
      <c r="J17" s="10">
        <v>0.65800000000000003</v>
      </c>
    </row>
    <row r="18" spans="1:10" ht="50" customHeight="1" x14ac:dyDescent="0.3">
      <c r="A18" s="5">
        <v>12</v>
      </c>
      <c r="B18" s="12" t="s">
        <v>36</v>
      </c>
      <c r="C18" s="12"/>
      <c r="D18" s="6" t="s">
        <v>37</v>
      </c>
      <c r="E18" s="7" t="s">
        <v>35</v>
      </c>
      <c r="F18" s="8">
        <v>3.29</v>
      </c>
      <c r="G18" s="9">
        <v>20</v>
      </c>
      <c r="H18" s="10">
        <v>0.16500000000000001</v>
      </c>
      <c r="I18" s="5">
        <v>4</v>
      </c>
      <c r="J18" s="10">
        <v>0.65800000000000003</v>
      </c>
    </row>
    <row r="19" spans="1:10" ht="34" customHeight="1" x14ac:dyDescent="0.3">
      <c r="A19" s="5">
        <v>15</v>
      </c>
      <c r="B19" s="12" t="s">
        <v>38</v>
      </c>
      <c r="C19" s="12"/>
      <c r="D19" s="6" t="s">
        <v>39</v>
      </c>
      <c r="E19" s="7" t="s">
        <v>40</v>
      </c>
      <c r="F19" s="8">
        <v>1.71</v>
      </c>
      <c r="G19" s="9">
        <v>50</v>
      </c>
      <c r="H19" s="10">
        <v>3.4000000000000002E-2</v>
      </c>
      <c r="I19" s="5">
        <v>4</v>
      </c>
      <c r="J19" s="11">
        <v>0.1368</v>
      </c>
    </row>
    <row r="20" spans="1:10" ht="56.5" customHeight="1" x14ac:dyDescent="0.3">
      <c r="A20" s="5">
        <v>17</v>
      </c>
      <c r="B20" s="12" t="s">
        <v>41</v>
      </c>
      <c r="C20" s="12"/>
      <c r="D20" s="6" t="s">
        <v>42</v>
      </c>
      <c r="E20" s="7" t="s">
        <v>43</v>
      </c>
      <c r="F20" s="20">
        <v>60</v>
      </c>
      <c r="G20" s="9">
        <v>1</v>
      </c>
      <c r="H20" s="10">
        <v>60</v>
      </c>
      <c r="I20" s="5">
        <v>1</v>
      </c>
      <c r="J20" s="20">
        <v>60</v>
      </c>
    </row>
    <row r="21" spans="1:10" ht="55.5" customHeight="1" x14ac:dyDescent="0.3">
      <c r="A21" s="5">
        <v>19</v>
      </c>
      <c r="B21" s="12" t="s">
        <v>44</v>
      </c>
      <c r="C21" s="12"/>
      <c r="D21" s="6" t="s">
        <v>45</v>
      </c>
      <c r="E21" s="7" t="s">
        <v>46</v>
      </c>
      <c r="F21" s="8">
        <v>8.2899999999999991</v>
      </c>
      <c r="G21" s="9">
        <v>8</v>
      </c>
      <c r="H21" s="10">
        <v>1.036</v>
      </c>
      <c r="I21" s="5">
        <v>1</v>
      </c>
      <c r="J21" s="21">
        <v>1.0362499999999999</v>
      </c>
    </row>
    <row r="22" spans="1:10" ht="59.5" customHeight="1" x14ac:dyDescent="0.3">
      <c r="A22" s="5">
        <v>21</v>
      </c>
      <c r="B22" s="12" t="s">
        <v>47</v>
      </c>
      <c r="C22" s="12"/>
      <c r="D22" s="6" t="s">
        <v>48</v>
      </c>
      <c r="E22" s="7" t="s">
        <v>29</v>
      </c>
      <c r="F22" s="9">
        <v>2.1</v>
      </c>
      <c r="G22" s="9">
        <v>50</v>
      </c>
      <c r="H22" s="10">
        <v>4.2000000000000003E-2</v>
      </c>
      <c r="I22" s="5">
        <v>6</v>
      </c>
      <c r="J22" s="10">
        <v>0.252</v>
      </c>
    </row>
    <row r="23" spans="1:10" ht="66.5" customHeight="1" x14ac:dyDescent="0.3">
      <c r="A23" s="5">
        <v>22</v>
      </c>
      <c r="B23" s="12" t="s">
        <v>49</v>
      </c>
      <c r="C23" s="12"/>
      <c r="D23" s="6" t="s">
        <v>50</v>
      </c>
      <c r="E23" s="7" t="s">
        <v>51</v>
      </c>
      <c r="F23" s="8">
        <v>6.09</v>
      </c>
      <c r="G23" s="9">
        <v>8</v>
      </c>
      <c r="H23" s="10">
        <v>0.76100000000000001</v>
      </c>
      <c r="I23" s="5">
        <v>6</v>
      </c>
      <c r="J23" s="11">
        <v>4.5674999999999999</v>
      </c>
    </row>
    <row r="24" spans="1:10" ht="68" customHeight="1" x14ac:dyDescent="0.3">
      <c r="A24" s="5">
        <v>24</v>
      </c>
      <c r="B24" s="12" t="s">
        <v>52</v>
      </c>
      <c r="C24" s="12"/>
      <c r="D24" s="6" t="s">
        <v>53</v>
      </c>
      <c r="E24" s="7" t="s">
        <v>54</v>
      </c>
      <c r="F24" s="8">
        <v>13.19</v>
      </c>
      <c r="G24" s="9">
        <v>10</v>
      </c>
      <c r="H24" s="10">
        <v>1.319</v>
      </c>
      <c r="I24" s="5">
        <v>1</v>
      </c>
      <c r="J24" s="10">
        <v>1.319</v>
      </c>
    </row>
    <row r="25" spans="1:10" ht="52" customHeight="1" x14ac:dyDescent="0.3">
      <c r="A25" s="5">
        <v>25</v>
      </c>
      <c r="B25" s="12" t="s">
        <v>55</v>
      </c>
      <c r="C25" s="12"/>
      <c r="D25" s="6" t="s">
        <v>56</v>
      </c>
      <c r="E25" s="7" t="s">
        <v>57</v>
      </c>
      <c r="F25" s="8">
        <v>9.19</v>
      </c>
      <c r="G25" s="9">
        <v>100</v>
      </c>
      <c r="H25" s="10">
        <v>9.1999999999999998E-2</v>
      </c>
      <c r="I25" s="5">
        <v>30</v>
      </c>
      <c r="J25" s="10">
        <v>2.7570000000000001</v>
      </c>
    </row>
    <row r="26" spans="1:10" ht="51" customHeight="1" x14ac:dyDescent="0.3">
      <c r="A26" s="5">
        <v>26</v>
      </c>
      <c r="B26" s="12" t="s">
        <v>58</v>
      </c>
      <c r="C26" s="12"/>
      <c r="D26" s="6" t="s">
        <v>56</v>
      </c>
      <c r="E26" s="7" t="s">
        <v>59</v>
      </c>
      <c r="F26" s="8">
        <v>7.29</v>
      </c>
      <c r="G26" s="9">
        <v>100</v>
      </c>
      <c r="H26" s="10">
        <v>7.2999999999999995E-2</v>
      </c>
      <c r="I26" s="5">
        <v>6</v>
      </c>
      <c r="J26" s="11">
        <v>0.43740000000000001</v>
      </c>
    </row>
    <row r="27" spans="1:10" ht="51" customHeight="1" x14ac:dyDescent="0.3">
      <c r="A27" s="20">
        <v>27</v>
      </c>
      <c r="B27" s="12" t="s">
        <v>60</v>
      </c>
      <c r="C27" s="12"/>
      <c r="D27" s="6" t="s">
        <v>61</v>
      </c>
      <c r="E27" s="7" t="s">
        <v>0</v>
      </c>
      <c r="F27" s="8">
        <v>14</v>
      </c>
      <c r="G27" s="9">
        <v>50</v>
      </c>
      <c r="H27" s="10">
        <f>14/50</f>
        <v>0.28000000000000003</v>
      </c>
      <c r="I27" s="5">
        <v>1</v>
      </c>
      <c r="J27" s="10">
        <f>H27</f>
        <v>0.28000000000000003</v>
      </c>
    </row>
    <row r="28" spans="1:10" ht="30.5" customHeight="1" x14ac:dyDescent="0.3">
      <c r="A28" s="22" t="s">
        <v>62</v>
      </c>
      <c r="B28" s="22"/>
      <c r="C28" s="22"/>
      <c r="D28" s="22"/>
      <c r="E28" s="22"/>
      <c r="F28" s="22"/>
      <c r="G28" s="22"/>
      <c r="H28" s="22"/>
      <c r="I28" s="22"/>
      <c r="J28" s="8">
        <v>81.93</v>
      </c>
    </row>
    <row r="29" spans="1:10" ht="32" customHeight="1" x14ac:dyDescent="0.3">
      <c r="A29" s="1"/>
      <c r="B29" s="1"/>
    </row>
    <row r="30" spans="1:10" ht="33" customHeight="1" x14ac:dyDescent="0.3">
      <c r="A30" s="2"/>
      <c r="B30" s="2"/>
      <c r="C30" s="2"/>
      <c r="D30" s="2"/>
    </row>
  </sheetData>
  <mergeCells count="32">
    <mergeCell ref="A29:B29"/>
    <mergeCell ref="B24:C24"/>
    <mergeCell ref="B25:C25"/>
    <mergeCell ref="B26:C26"/>
    <mergeCell ref="B27:C27"/>
    <mergeCell ref="A28:I28"/>
    <mergeCell ref="B19:C19"/>
    <mergeCell ref="B20:C20"/>
    <mergeCell ref="B21:C21"/>
    <mergeCell ref="B22:C22"/>
    <mergeCell ref="B23:C23"/>
    <mergeCell ref="B14:C14"/>
    <mergeCell ref="B15:C15"/>
    <mergeCell ref="B16:C16"/>
    <mergeCell ref="B17:C17"/>
    <mergeCell ref="B18:C18"/>
    <mergeCell ref="B1:C1"/>
    <mergeCell ref="B2:C2"/>
    <mergeCell ref="D2:D13"/>
    <mergeCell ref="E2:E13"/>
    <mergeCell ref="F2:F13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</mergeCells>
  <hyperlinks>
    <hyperlink ref="E2" r:id="rId1" xr:uid="{00000000-0004-0000-0000-000000000000}"/>
    <hyperlink ref="E14" r:id="rId2" xr:uid="{00000000-0004-0000-0000-000001000000}"/>
    <hyperlink ref="E15" r:id="rId3" xr:uid="{00000000-0004-0000-0000-000002000000}"/>
    <hyperlink ref="E16" r:id="rId4" xr:uid="{00000000-0004-0000-0000-000003000000}"/>
    <hyperlink ref="E17" r:id="rId5" xr:uid="{00000000-0004-0000-0000-000004000000}"/>
    <hyperlink ref="E18" r:id="rId6" xr:uid="{00000000-0004-0000-0000-000005000000}"/>
    <hyperlink ref="E19" r:id="rId7" xr:uid="{00000000-0004-0000-0000-000006000000}"/>
    <hyperlink ref="E20" r:id="rId8" xr:uid="{00000000-0004-0000-0000-000007000000}"/>
    <hyperlink ref="E21" r:id="rId9" xr:uid="{00000000-0004-0000-0000-000008000000}"/>
    <hyperlink ref="E22" r:id="rId10" xr:uid="{00000000-0004-0000-0000-000009000000}"/>
    <hyperlink ref="E23" r:id="rId11" xr:uid="{00000000-0004-0000-0000-00000A000000}"/>
    <hyperlink ref="E24" r:id="rId12" xr:uid="{00000000-0004-0000-0000-00000B000000}"/>
    <hyperlink ref="E25" r:id="rId13" xr:uid="{00000000-0004-0000-0000-00000C000000}"/>
    <hyperlink ref="E26" r:id="rId14" xr:uid="{00000000-0004-0000-0000-00000D000000}"/>
    <hyperlink ref="E27" r:id="rId15" xr:uid="{00000000-0004-0000-0000-00000E000000}"/>
  </hyperlinks>
  <pageMargins left="0.7" right="0.7" top="0.75" bottom="0.75" header="0.3" footer="0.3"/>
  <pageSetup orientation="landscape" r:id="rId16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Bill of material V4 Cycloidal Actuator without cover.xlsx</dc:title>
  <dc:creator>jiale jiang</dc:creator>
  <cp:lastModifiedBy>jiale jiang</cp:lastModifiedBy>
  <cp:lastPrinted>2026-03-27T07:07:02Z</cp:lastPrinted>
  <dcterms:created xsi:type="dcterms:W3CDTF">2026-03-27T07:01:47Z</dcterms:created>
  <dcterms:modified xsi:type="dcterms:W3CDTF">2026-03-27T07:08:17Z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2026-02-11T00:00:00Z</vt:filetime>
  </property>
  <property fmtid="{D5CDD505-2E9C-101B-9397-08002B2CF9AE}" pid="3" name="LastSaved">
    <vt:filetime>2026-03-27T00:00:00Z</vt:filetime>
  </property>
  <property fmtid="{D5CDD505-2E9C-101B-9397-08002B2CF9AE}" pid="4" name="Producer">
    <vt:lpwstr>Microsoft: Print To PDF</vt:lpwstr>
  </property>
</Properties>
</file>